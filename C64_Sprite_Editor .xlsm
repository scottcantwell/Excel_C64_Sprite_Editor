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\OneDrive\Software Development\LonestarSoftworx\Projects\C64_Sprite_Editor\"/>
    </mc:Choice>
  </mc:AlternateContent>
  <xr:revisionPtr revIDLastSave="0" documentId="13_ncr:1_{2AEA1CCE-3DD4-47FC-8CC6-B75E85A3D05A}" xr6:coauthVersionLast="47" xr6:coauthVersionMax="47" xr10:uidLastSave="{00000000-0000-0000-0000-000000000000}"/>
  <bookViews>
    <workbookView xWindow="-120" yWindow="-120" windowWidth="51840" windowHeight="21240" xr2:uid="{6B7508AD-FA31-45DB-BC11-4ACA2984568A}"/>
  </bookViews>
  <sheets>
    <sheet name="C64 Sprite 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9" i="1" l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I20" i="1" s="1"/>
  <c r="AF21" i="1"/>
  <c r="AF22" i="1"/>
  <c r="AF23" i="1"/>
  <c r="AF24" i="1"/>
  <c r="AF25" i="1"/>
  <c r="AF26" i="1"/>
  <c r="AF27" i="1"/>
  <c r="AF28" i="1"/>
  <c r="AF8" i="1"/>
  <c r="AI27" i="1" l="1"/>
  <c r="AI26" i="1"/>
  <c r="AI13" i="1"/>
  <c r="AI10" i="1"/>
  <c r="AI21" i="1"/>
  <c r="AI25" i="1"/>
  <c r="AI8" i="1"/>
  <c r="AI28" i="1"/>
  <c r="AI9" i="1"/>
  <c r="AI22" i="1"/>
  <c r="AI24" i="1"/>
  <c r="AI23" i="1"/>
  <c r="AI19" i="1"/>
  <c r="AI17" i="1"/>
  <c r="AI18" i="1"/>
  <c r="AI16" i="1"/>
  <c r="AI15" i="1"/>
  <c r="AI14" i="1"/>
  <c r="AI12" i="1"/>
  <c r="AI11" i="1"/>
</calcChain>
</file>

<file path=xl/sharedStrings.xml><?xml version="1.0" encoding="utf-8"?>
<sst xmlns="http://schemas.openxmlformats.org/spreadsheetml/2006/main" count="8" uniqueCount="8">
  <si>
    <t>Sprite Data</t>
  </si>
  <si>
    <t>Basic Data Code</t>
  </si>
  <si>
    <t>Start Line #:</t>
  </si>
  <si>
    <t>Line Increment:</t>
  </si>
  <si>
    <t>C64 Sprite Editor</t>
  </si>
  <si>
    <t>Show Sprite Code</t>
  </si>
  <si>
    <t>`</t>
  </si>
  <si>
    <t>100 REM -------------------------------------------------------------
110 REM              C64 Sprite Editor 
120 REM -------------------------------------------------------------
130 PRINT CHR$(147) : REM Clear Scrren
140 SA = 12800	           : REM Sprite Memory Start Address
150 FOR X = 0 to 62     : REM Loop to Read Sprite Data
160  READ Y	           : REM Read a Byte
170  POKE SA+X,Y       : REM Put Data into Memory
180 NEXT	          : REM Read Next Byte
190 REM -------------------------------------------------------------
200 REM                 Show Sprite on Screen
210 REM -------------------------------------------------------------
220 POKE 53287,4      : REM Sprite Color
230 POKE 2040,200    : REM Sprite Pointer to Memory * 12800/64
240 POKE 53248,120  : REM X-Position
250 POKE 53249,100  : REM Y-Position
260 POKE 53277,0       : REM X Size to Max
270 POKE 53271,0       : REM Y Size to Max
280 POKE 53269,15     : REM Show All Sprites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</si>
</sst>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4" borderId="0" xfId="0" applyFill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2" fillId="3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7" borderId="7" xfId="0" applyFill="1" applyBorder="1"/>
    <xf numFmtId="0" fontId="0" fillId="7" borderId="0" xfId="0" applyFill="1"/>
    <xf numFmtId="0" fontId="0" fillId="7" borderId="8" xfId="0" applyFill="1" applyBorder="1"/>
    <xf numFmtId="0" fontId="0" fillId="7" borderId="7" xfId="0" applyFill="1" applyBorder="1" applyAlignment="1">
      <alignment wrapText="1"/>
    </xf>
    <xf numFmtId="0" fontId="0" fillId="7" borderId="0" xfId="0" applyFill="1" applyAlignment="1">
      <alignment wrapText="1"/>
    </xf>
    <xf numFmtId="0" fontId="0" fillId="7" borderId="8" xfId="0" applyFill="1" applyBorder="1" applyAlignment="1">
      <alignment wrapText="1"/>
    </xf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1" fillId="0" borderId="26" xfId="0" applyFont="1" applyBorder="1" applyAlignment="1">
      <alignment horizontal="center"/>
    </xf>
    <xf numFmtId="0" fontId="0" fillId="6" borderId="0" xfId="0" applyFill="1" applyBorder="1" applyAlignment="1">
      <alignment vertical="top" wrapText="1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5" borderId="27" xfId="0" applyFont="1" applyFill="1" applyBorder="1"/>
    <xf numFmtId="0" fontId="0" fillId="4" borderId="25" xfId="0" applyFill="1" applyBorder="1"/>
    <xf numFmtId="0" fontId="0" fillId="0" borderId="28" xfId="0" applyBorder="1"/>
    <xf numFmtId="0" fontId="1" fillId="5" borderId="29" xfId="0" applyFont="1" applyFill="1" applyBorder="1"/>
    <xf numFmtId="0" fontId="0" fillId="4" borderId="30" xfId="0" applyFill="1" applyBorder="1"/>
    <xf numFmtId="0" fontId="0" fillId="4" borderId="31" xfId="0" applyFill="1" applyBorder="1"/>
    <xf numFmtId="0" fontId="1" fillId="0" borderId="32" xfId="0" applyFont="1" applyBorder="1" applyAlignment="1">
      <alignment horizontal="center"/>
    </xf>
    <xf numFmtId="0" fontId="0" fillId="6" borderId="5" xfId="0" applyFill="1" applyBorder="1" applyAlignment="1">
      <alignment vertical="top" wrapText="1"/>
    </xf>
    <xf numFmtId="0" fontId="0" fillId="6" borderId="4" xfId="0" applyFill="1" applyBorder="1" applyAlignment="1">
      <alignment vertical="top" wrapText="1"/>
    </xf>
    <xf numFmtId="0" fontId="0" fillId="6" borderId="6" xfId="0" applyFill="1" applyBorder="1" applyAlignment="1">
      <alignment vertical="top" wrapText="1"/>
    </xf>
    <xf numFmtId="0" fontId="0" fillId="6" borderId="7" xfId="0" applyFill="1" applyBorder="1" applyAlignment="1">
      <alignment vertical="top" wrapText="1"/>
    </xf>
    <xf numFmtId="0" fontId="0" fillId="6" borderId="8" xfId="0" applyFill="1" applyBorder="1" applyAlignment="1">
      <alignment vertical="top" wrapText="1"/>
    </xf>
    <xf numFmtId="0" fontId="0" fillId="6" borderId="9" xfId="0" applyFill="1" applyBorder="1" applyAlignment="1">
      <alignment vertical="top" wrapText="1"/>
    </xf>
    <xf numFmtId="0" fontId="0" fillId="6" borderId="10" xfId="0" applyFill="1" applyBorder="1" applyAlignment="1">
      <alignment vertical="top" wrapText="1"/>
    </xf>
    <xf numFmtId="0" fontId="0" fillId="6" borderId="11" xfId="0" applyFill="1" applyBorder="1" applyAlignment="1">
      <alignment vertical="top" wrapText="1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-0.24994659260841701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30</xdr:row>
          <xdr:rowOff>66675</xdr:rowOff>
        </xdr:from>
        <xdr:to>
          <xdr:col>19</xdr:col>
          <xdr:colOff>95250</xdr:colOff>
          <xdr:row>32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381000</xdr:colOff>
          <xdr:row>30</xdr:row>
          <xdr:rowOff>28575</xdr:rowOff>
        </xdr:from>
        <xdr:to>
          <xdr:col>36</xdr:col>
          <xdr:colOff>104775</xdr:colOff>
          <xdr:row>32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323850</xdr:colOff>
          <xdr:row>30</xdr:row>
          <xdr:rowOff>0</xdr:rowOff>
        </xdr:from>
        <xdr:to>
          <xdr:col>43</xdr:col>
          <xdr:colOff>66675</xdr:colOff>
          <xdr:row>32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F10CB-FDB6-477E-832B-BDDFE941F0B2}">
  <sheetPr codeName="Sheet1"/>
  <dimension ref="E1:AU31"/>
  <sheetViews>
    <sheetView tabSelected="1" workbookViewId="0">
      <selection activeCell="V35" sqref="V35"/>
    </sheetView>
  </sheetViews>
  <sheetFormatPr defaultRowHeight="15" x14ac:dyDescent="0.25"/>
  <cols>
    <col min="4" max="27" width="4" customWidth="1"/>
    <col min="28" max="28" width="3.7109375" customWidth="1"/>
    <col min="29" max="29" width="4" customWidth="1"/>
    <col min="30" max="30" width="3.5703125" customWidth="1"/>
    <col min="34" max="34" width="4.28515625" customWidth="1"/>
    <col min="35" max="35" width="14.140625" customWidth="1"/>
    <col min="36" max="36" width="5" customWidth="1"/>
    <col min="38" max="38" width="15" bestFit="1" customWidth="1"/>
    <col min="39" max="39" width="16.7109375" bestFit="1" customWidth="1"/>
  </cols>
  <sheetData>
    <row r="1" spans="5:47" ht="15.75" thickBot="1" x14ac:dyDescent="0.3"/>
    <row r="2" spans="5:47" ht="15.75" customHeight="1" thickTop="1" x14ac:dyDescent="0.25">
      <c r="H2" s="10" t="s">
        <v>4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2"/>
    </row>
    <row r="3" spans="5:47" ht="15.75" customHeight="1" thickBot="1" x14ac:dyDescent="0.3">
      <c r="H3" s="13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5"/>
    </row>
    <row r="4" spans="5:47" ht="15.75" thickTop="1" x14ac:dyDescent="0.25">
      <c r="AI4" s="36" t="s">
        <v>2</v>
      </c>
      <c r="AJ4" s="37">
        <v>1000</v>
      </c>
      <c r="AK4" s="38"/>
    </row>
    <row r="5" spans="5:47" ht="15.75" thickBot="1" x14ac:dyDescent="0.3">
      <c r="AI5" s="39" t="s">
        <v>3</v>
      </c>
      <c r="AJ5" s="40">
        <v>20</v>
      </c>
      <c r="AK5" s="41"/>
    </row>
    <row r="6" spans="5:47" ht="15.75" thickBot="1" x14ac:dyDescent="0.3"/>
    <row r="7" spans="5:47" ht="15.75" thickBot="1" x14ac:dyDescent="0.3">
      <c r="F7" s="1">
        <v>8</v>
      </c>
      <c r="G7" s="1">
        <v>7</v>
      </c>
      <c r="H7" s="1">
        <v>6</v>
      </c>
      <c r="I7" s="1">
        <v>5</v>
      </c>
      <c r="J7" s="1">
        <v>4</v>
      </c>
      <c r="K7" s="1">
        <v>3</v>
      </c>
      <c r="L7" s="1">
        <v>2</v>
      </c>
      <c r="M7" s="1">
        <v>1</v>
      </c>
      <c r="N7" s="2">
        <v>8</v>
      </c>
      <c r="O7" s="2">
        <v>7</v>
      </c>
      <c r="P7" s="2">
        <v>6</v>
      </c>
      <c r="Q7" s="2">
        <v>5</v>
      </c>
      <c r="R7" s="2">
        <v>4</v>
      </c>
      <c r="S7" s="2">
        <v>3</v>
      </c>
      <c r="T7" s="2">
        <v>2</v>
      </c>
      <c r="U7" s="2">
        <v>1</v>
      </c>
      <c r="V7" s="1">
        <v>8</v>
      </c>
      <c r="W7" s="1">
        <v>7</v>
      </c>
      <c r="X7" s="1">
        <v>6</v>
      </c>
      <c r="Y7" s="1">
        <v>5</v>
      </c>
      <c r="Z7" s="1">
        <v>4</v>
      </c>
      <c r="AA7" s="1">
        <v>3</v>
      </c>
      <c r="AB7" s="1">
        <v>2</v>
      </c>
      <c r="AC7" s="1">
        <v>1</v>
      </c>
      <c r="AD7" s="6"/>
      <c r="AE7" s="22" t="s">
        <v>0</v>
      </c>
      <c r="AF7" s="23"/>
      <c r="AG7" s="24"/>
      <c r="AH7" s="9"/>
      <c r="AI7" s="22" t="s">
        <v>1</v>
      </c>
      <c r="AJ7" s="23"/>
      <c r="AK7" s="24"/>
      <c r="AM7" s="33" t="s">
        <v>5</v>
      </c>
      <c r="AN7" s="34"/>
      <c r="AO7" s="34"/>
      <c r="AP7" s="34"/>
      <c r="AQ7" s="34"/>
      <c r="AR7" s="34"/>
      <c r="AS7" s="34"/>
      <c r="AT7" s="34"/>
      <c r="AU7" s="35"/>
    </row>
    <row r="8" spans="5:47" ht="16.5" customHeight="1" thickTop="1" thickBot="1" x14ac:dyDescent="0.3">
      <c r="E8">
        <v>1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5"/>
      <c r="AE8" s="31">
        <f t="shared" ref="AE8:AE28" si="0">IFERROR(F8*128+G8*64+H8*32+I8*16+J8*8+K8*4+L8*2+M8*1,"0")</f>
        <v>0</v>
      </c>
      <c r="AF8" s="31">
        <f t="shared" ref="AF8:AF28" si="1">IFERROR(N8*128+O8*64+P8*32+Q8*16+R8*8+S8*4+T8*2+U8*1,"0")</f>
        <v>0</v>
      </c>
      <c r="AG8" s="31">
        <f t="shared" ref="AG8:AG28" si="2">IFERROR(V8*128+W8*64+X8*32+Y8*16+Z8*8+AA8*4+AB8*2+AC8*1,"0")</f>
        <v>0</v>
      </c>
      <c r="AH8" s="5"/>
      <c r="AI8" s="25" t="str">
        <f>$AJ4+E8*AJ5&amp;" DATA "&amp;AE8&amp;","&amp;AF8&amp;","&amp;AG8</f>
        <v>1020 DATA 0,0,0</v>
      </c>
      <c r="AJ8" s="26"/>
      <c r="AK8" s="27"/>
      <c r="AM8" s="44" t="s">
        <v>7</v>
      </c>
      <c r="AN8" s="43"/>
      <c r="AO8" s="43"/>
      <c r="AP8" s="43"/>
      <c r="AQ8" s="43"/>
      <c r="AR8" s="43"/>
      <c r="AS8" s="43"/>
      <c r="AT8" s="43"/>
      <c r="AU8" s="45"/>
    </row>
    <row r="9" spans="5:47" ht="16.5" thickTop="1" thickBot="1" x14ac:dyDescent="0.3">
      <c r="E9">
        <v>2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5"/>
      <c r="AE9" s="4">
        <f t="shared" si="0"/>
        <v>0</v>
      </c>
      <c r="AF9" s="4">
        <f t="shared" si="1"/>
        <v>0</v>
      </c>
      <c r="AG9" s="4">
        <f t="shared" si="2"/>
        <v>0</v>
      </c>
      <c r="AH9" s="5"/>
      <c r="AI9" s="16" t="str">
        <f>AJ4+E9*AJ5&amp;" DATA "&amp;AE8&amp;","&amp;AF8&amp;","&amp;AG8</f>
        <v>1040 DATA 0,0,0</v>
      </c>
      <c r="AJ9" s="17"/>
      <c r="AK9" s="18"/>
      <c r="AM9" s="46"/>
      <c r="AN9" s="32"/>
      <c r="AO9" s="32"/>
      <c r="AP9" s="32"/>
      <c r="AQ9" s="32"/>
      <c r="AR9" s="32"/>
      <c r="AS9" s="32"/>
      <c r="AT9" s="32"/>
      <c r="AU9" s="47"/>
    </row>
    <row r="10" spans="5:47" ht="16.5" thickTop="1" thickBot="1" x14ac:dyDescent="0.3">
      <c r="E10">
        <v>3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5"/>
      <c r="AE10" s="4">
        <f t="shared" si="0"/>
        <v>0</v>
      </c>
      <c r="AF10" s="4">
        <f t="shared" si="1"/>
        <v>0</v>
      </c>
      <c r="AG10" s="4">
        <f t="shared" si="2"/>
        <v>0</v>
      </c>
      <c r="AH10" s="5"/>
      <c r="AI10" s="16" t="str">
        <f>AJ4+E10*AJ5&amp;" DATA "&amp;AE8&amp;","&amp;AF8&amp;","&amp;AG8</f>
        <v>1060 DATA 0,0,0</v>
      </c>
      <c r="AJ10" s="17"/>
      <c r="AK10" s="18"/>
      <c r="AM10" s="46"/>
      <c r="AN10" s="32"/>
      <c r="AO10" s="32"/>
      <c r="AP10" s="32"/>
      <c r="AQ10" s="32"/>
      <c r="AR10" s="32"/>
      <c r="AS10" s="32"/>
      <c r="AT10" s="32"/>
      <c r="AU10" s="47"/>
    </row>
    <row r="11" spans="5:47" ht="16.5" thickTop="1" thickBot="1" x14ac:dyDescent="0.3">
      <c r="E11">
        <v>4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5"/>
      <c r="AE11" s="4">
        <f t="shared" si="0"/>
        <v>0</v>
      </c>
      <c r="AF11" s="4">
        <f t="shared" si="1"/>
        <v>0</v>
      </c>
      <c r="AG11" s="4">
        <f t="shared" si="2"/>
        <v>0</v>
      </c>
      <c r="AH11" s="5"/>
      <c r="AI11" s="16" t="str">
        <f>AJ4+E11*AJ5&amp;" DATA "&amp;AE11&amp;","&amp;AF11&amp;","&amp;AG11</f>
        <v>1080 DATA 0,0,0</v>
      </c>
      <c r="AJ11" s="17"/>
      <c r="AK11" s="18"/>
      <c r="AM11" s="46"/>
      <c r="AN11" s="32"/>
      <c r="AO11" s="32"/>
      <c r="AP11" s="32"/>
      <c r="AQ11" s="32"/>
      <c r="AR11" s="32"/>
      <c r="AS11" s="32"/>
      <c r="AT11" s="32"/>
      <c r="AU11" s="47"/>
    </row>
    <row r="12" spans="5:47" ht="16.5" thickTop="1" thickBot="1" x14ac:dyDescent="0.3">
      <c r="E12">
        <v>5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5"/>
      <c r="AE12" s="4">
        <f t="shared" si="0"/>
        <v>0</v>
      </c>
      <c r="AF12" s="4">
        <f t="shared" si="1"/>
        <v>0</v>
      </c>
      <c r="AG12" s="4">
        <f t="shared" si="2"/>
        <v>0</v>
      </c>
      <c r="AH12" s="5"/>
      <c r="AI12" s="16" t="str">
        <f>AJ4+E12*AJ5&amp;" DATA "&amp;AE12&amp;","&amp;AF12&amp;","&amp;AG12</f>
        <v>1100 DATA 0,0,0</v>
      </c>
      <c r="AJ12" s="17"/>
      <c r="AK12" s="18"/>
      <c r="AM12" s="46"/>
      <c r="AN12" s="32"/>
      <c r="AO12" s="32"/>
      <c r="AP12" s="32"/>
      <c r="AQ12" s="32"/>
      <c r="AR12" s="32"/>
      <c r="AS12" s="32"/>
      <c r="AT12" s="32"/>
      <c r="AU12" s="47"/>
    </row>
    <row r="13" spans="5:47" ht="16.5" customHeight="1" thickTop="1" thickBot="1" x14ac:dyDescent="0.3">
      <c r="E13">
        <v>6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5"/>
      <c r="AE13" s="4">
        <f t="shared" si="0"/>
        <v>0</v>
      </c>
      <c r="AF13" s="4">
        <f t="shared" si="1"/>
        <v>0</v>
      </c>
      <c r="AG13" s="4">
        <f t="shared" si="2"/>
        <v>0</v>
      </c>
      <c r="AH13" s="5"/>
      <c r="AI13" s="19" t="str">
        <f>AJ4+E13*AJ5&amp;" DATA "&amp;AE13&amp;","&amp;AF13&amp;","&amp;AG13</f>
        <v>1120 DATA 0,0,0</v>
      </c>
      <c r="AJ13" s="20"/>
      <c r="AK13" s="21"/>
      <c r="AM13" s="46"/>
      <c r="AN13" s="32"/>
      <c r="AO13" s="32"/>
      <c r="AP13" s="32"/>
      <c r="AQ13" s="32"/>
      <c r="AR13" s="32"/>
      <c r="AS13" s="32"/>
      <c r="AT13" s="32"/>
      <c r="AU13" s="47"/>
    </row>
    <row r="14" spans="5:47" ht="16.5" thickTop="1" thickBot="1" x14ac:dyDescent="0.3">
      <c r="E14">
        <v>7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5"/>
      <c r="AE14" s="4">
        <f t="shared" si="0"/>
        <v>0</v>
      </c>
      <c r="AF14" s="4">
        <f t="shared" si="1"/>
        <v>0</v>
      </c>
      <c r="AG14" s="4">
        <f t="shared" si="2"/>
        <v>0</v>
      </c>
      <c r="AH14" s="5"/>
      <c r="AI14" s="16" t="str">
        <f>AJ4+E14*AJ5&amp;" DATA "&amp;AE14&amp;","&amp;AF14&amp;","&amp;AG14</f>
        <v>1140 DATA 0,0,0</v>
      </c>
      <c r="AJ14" s="17"/>
      <c r="AK14" s="18"/>
      <c r="AM14" s="46"/>
      <c r="AN14" s="32"/>
      <c r="AO14" s="32"/>
      <c r="AP14" s="32"/>
      <c r="AQ14" s="32"/>
      <c r="AR14" s="32"/>
      <c r="AS14" s="32"/>
      <c r="AT14" s="32"/>
      <c r="AU14" s="47"/>
    </row>
    <row r="15" spans="5:47" ht="16.5" thickTop="1" thickBot="1" x14ac:dyDescent="0.3">
      <c r="E15">
        <v>8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5"/>
      <c r="AE15" s="4">
        <f t="shared" si="0"/>
        <v>0</v>
      </c>
      <c r="AF15" s="4">
        <f t="shared" si="1"/>
        <v>0</v>
      </c>
      <c r="AG15" s="4">
        <f t="shared" si="2"/>
        <v>0</v>
      </c>
      <c r="AH15" s="5"/>
      <c r="AI15" s="16" t="str">
        <f>AJ4+E15*AJ5&amp;" DATA "&amp;AE15&amp;","&amp;AF15&amp;","&amp;AG15</f>
        <v>1160 DATA 0,0,0</v>
      </c>
      <c r="AJ15" s="17"/>
      <c r="AK15" s="18"/>
      <c r="AM15" s="46"/>
      <c r="AN15" s="32"/>
      <c r="AO15" s="32"/>
      <c r="AP15" s="32"/>
      <c r="AQ15" s="32"/>
      <c r="AR15" s="32"/>
      <c r="AS15" s="32"/>
      <c r="AT15" s="32"/>
      <c r="AU15" s="47"/>
    </row>
    <row r="16" spans="5:47" ht="16.5" thickTop="1" thickBot="1" x14ac:dyDescent="0.3">
      <c r="E16">
        <v>9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5"/>
      <c r="AE16" s="4">
        <f t="shared" si="0"/>
        <v>0</v>
      </c>
      <c r="AF16" s="4">
        <f t="shared" si="1"/>
        <v>0</v>
      </c>
      <c r="AG16" s="4">
        <f t="shared" si="2"/>
        <v>0</v>
      </c>
      <c r="AH16" s="5"/>
      <c r="AI16" s="16" t="str">
        <f>AJ4+E16*AJ5&amp;" DATA "&amp;AE16&amp;","&amp;AF16&amp;","&amp;AG16</f>
        <v>1180 DATA 0,0,0</v>
      </c>
      <c r="AJ16" s="17"/>
      <c r="AK16" s="18"/>
      <c r="AM16" s="46"/>
      <c r="AN16" s="32"/>
      <c r="AO16" s="32"/>
      <c r="AP16" s="32"/>
      <c r="AQ16" s="32"/>
      <c r="AR16" s="32"/>
      <c r="AS16" s="32"/>
      <c r="AT16" s="32"/>
      <c r="AU16" s="47"/>
    </row>
    <row r="17" spans="5:47" ht="16.5" thickTop="1" thickBot="1" x14ac:dyDescent="0.3">
      <c r="E17">
        <v>10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5"/>
      <c r="AE17" s="4">
        <f t="shared" si="0"/>
        <v>0</v>
      </c>
      <c r="AF17" s="4">
        <f t="shared" si="1"/>
        <v>0</v>
      </c>
      <c r="AG17" s="4">
        <f t="shared" si="2"/>
        <v>0</v>
      </c>
      <c r="AH17" s="5"/>
      <c r="AI17" s="16" t="str">
        <f>AJ4+E17*AJ5&amp;" DATA "&amp;AE17&amp;","&amp;AF17&amp;","&amp;AG17</f>
        <v>1200 DATA 0,0,0</v>
      </c>
      <c r="AJ17" s="17"/>
      <c r="AK17" s="18"/>
      <c r="AM17" s="46"/>
      <c r="AN17" s="32"/>
      <c r="AO17" s="32"/>
      <c r="AP17" s="32"/>
      <c r="AQ17" s="32"/>
      <c r="AR17" s="32"/>
      <c r="AS17" s="32"/>
      <c r="AT17" s="32"/>
      <c r="AU17" s="47"/>
    </row>
    <row r="18" spans="5:47" ht="16.5" thickTop="1" thickBot="1" x14ac:dyDescent="0.3">
      <c r="E18">
        <v>11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5"/>
      <c r="AE18" s="4">
        <f t="shared" si="0"/>
        <v>0</v>
      </c>
      <c r="AF18" s="4">
        <f t="shared" si="1"/>
        <v>0</v>
      </c>
      <c r="AG18" s="4">
        <f t="shared" si="2"/>
        <v>0</v>
      </c>
      <c r="AH18" s="5"/>
      <c r="AI18" s="16" t="str">
        <f>AJ4+E18*AJ5&amp;" DATA "&amp;AE18&amp;","&amp;AF18&amp;","&amp;AG18</f>
        <v>1220 DATA 0,0,0</v>
      </c>
      <c r="AJ18" s="17"/>
      <c r="AK18" s="18"/>
      <c r="AM18" s="46"/>
      <c r="AN18" s="32"/>
      <c r="AO18" s="32"/>
      <c r="AP18" s="32"/>
      <c r="AQ18" s="32"/>
      <c r="AR18" s="32"/>
      <c r="AS18" s="32"/>
      <c r="AT18" s="32"/>
      <c r="AU18" s="47"/>
    </row>
    <row r="19" spans="5:47" ht="16.5" thickTop="1" thickBot="1" x14ac:dyDescent="0.3">
      <c r="E19">
        <v>12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5"/>
      <c r="AE19" s="4">
        <f t="shared" si="0"/>
        <v>0</v>
      </c>
      <c r="AF19" s="4">
        <f t="shared" si="1"/>
        <v>0</v>
      </c>
      <c r="AG19" s="4">
        <f t="shared" si="2"/>
        <v>0</v>
      </c>
      <c r="AH19" s="5"/>
      <c r="AI19" s="16" t="str">
        <f>AJ4+E19*AJ5&amp;" DATA "&amp;AE19&amp;","&amp;AF19&amp;","&amp;AG19</f>
        <v>1240 DATA 0,0,0</v>
      </c>
      <c r="AJ19" s="17"/>
      <c r="AK19" s="18"/>
      <c r="AM19" s="46"/>
      <c r="AN19" s="32"/>
      <c r="AO19" s="32"/>
      <c r="AP19" s="32"/>
      <c r="AQ19" s="32"/>
      <c r="AR19" s="32"/>
      <c r="AS19" s="32"/>
      <c r="AT19" s="32"/>
      <c r="AU19" s="47"/>
    </row>
    <row r="20" spans="5:47" ht="16.5" thickTop="1" thickBot="1" x14ac:dyDescent="0.3">
      <c r="E20">
        <v>13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5"/>
      <c r="AE20" s="4">
        <f t="shared" si="0"/>
        <v>0</v>
      </c>
      <c r="AF20" s="4">
        <f t="shared" si="1"/>
        <v>0</v>
      </c>
      <c r="AG20" s="4">
        <f t="shared" si="2"/>
        <v>0</v>
      </c>
      <c r="AH20" s="5"/>
      <c r="AI20" s="16" t="str">
        <f>AJ4+E20*AJ5&amp;" DATA "&amp;AE20&amp;","&amp;AF20&amp;","&amp;AG20</f>
        <v>1260 DATA 0,0,0</v>
      </c>
      <c r="AJ20" s="17"/>
      <c r="AK20" s="18"/>
      <c r="AM20" s="46"/>
      <c r="AN20" s="32"/>
      <c r="AO20" s="32"/>
      <c r="AP20" s="32"/>
      <c r="AQ20" s="32"/>
      <c r="AR20" s="32"/>
      <c r="AS20" s="32"/>
      <c r="AT20" s="32"/>
      <c r="AU20" s="47"/>
    </row>
    <row r="21" spans="5:47" ht="16.5" thickTop="1" thickBot="1" x14ac:dyDescent="0.3">
      <c r="E21">
        <v>14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5"/>
      <c r="AE21" s="4">
        <f t="shared" si="0"/>
        <v>0</v>
      </c>
      <c r="AF21" s="4">
        <f t="shared" si="1"/>
        <v>0</v>
      </c>
      <c r="AG21" s="4">
        <f t="shared" si="2"/>
        <v>0</v>
      </c>
      <c r="AH21" s="5"/>
      <c r="AI21" s="16" t="str">
        <f>AJ4+E21*AJ5&amp;" DATA "&amp;AE21&amp;","&amp;AF21&amp;","&amp;AG21</f>
        <v>1280 DATA 0,0,0</v>
      </c>
      <c r="AJ21" s="17"/>
      <c r="AK21" s="18"/>
      <c r="AM21" s="46"/>
      <c r="AN21" s="32"/>
      <c r="AO21" s="32"/>
      <c r="AP21" s="32"/>
      <c r="AQ21" s="32"/>
      <c r="AR21" s="32"/>
      <c r="AS21" s="32"/>
      <c r="AT21" s="32"/>
      <c r="AU21" s="47"/>
    </row>
    <row r="22" spans="5:47" ht="16.5" thickTop="1" thickBot="1" x14ac:dyDescent="0.3">
      <c r="E22">
        <v>15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5"/>
      <c r="AE22" s="4">
        <f t="shared" si="0"/>
        <v>0</v>
      </c>
      <c r="AF22" s="4">
        <f t="shared" si="1"/>
        <v>0</v>
      </c>
      <c r="AG22" s="4">
        <f t="shared" si="2"/>
        <v>0</v>
      </c>
      <c r="AH22" s="5"/>
      <c r="AI22" s="16" t="str">
        <f>AJ4+E22*AJ5&amp;" DATA "&amp;AE22&amp;","&amp;AF22&amp;","&amp;AG22</f>
        <v>1300 DATA 0,0,0</v>
      </c>
      <c r="AJ22" s="17"/>
      <c r="AK22" s="18"/>
      <c r="AM22" s="46"/>
      <c r="AN22" s="32"/>
      <c r="AO22" s="32"/>
      <c r="AP22" s="32"/>
      <c r="AQ22" s="32"/>
      <c r="AR22" s="32"/>
      <c r="AS22" s="32"/>
      <c r="AT22" s="32"/>
      <c r="AU22" s="47"/>
    </row>
    <row r="23" spans="5:47" ht="16.5" thickTop="1" thickBot="1" x14ac:dyDescent="0.3">
      <c r="E23">
        <v>16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5"/>
      <c r="AE23" s="4">
        <f t="shared" si="0"/>
        <v>0</v>
      </c>
      <c r="AF23" s="4">
        <f t="shared" si="1"/>
        <v>0</v>
      </c>
      <c r="AG23" s="4">
        <f t="shared" si="2"/>
        <v>0</v>
      </c>
      <c r="AH23" s="5"/>
      <c r="AI23" s="16" t="str">
        <f>AJ4+E23*AJ5&amp;" DATA "&amp;AE23&amp;","&amp;AF23&amp;","&amp;AG23</f>
        <v>1320 DATA 0,0,0</v>
      </c>
      <c r="AJ23" s="17"/>
      <c r="AK23" s="18"/>
      <c r="AM23" s="46"/>
      <c r="AN23" s="32"/>
      <c r="AO23" s="32"/>
      <c r="AP23" s="32"/>
      <c r="AQ23" s="32"/>
      <c r="AR23" s="32"/>
      <c r="AS23" s="32"/>
      <c r="AT23" s="32"/>
      <c r="AU23" s="47"/>
    </row>
    <row r="24" spans="5:47" ht="16.5" thickTop="1" thickBot="1" x14ac:dyDescent="0.3">
      <c r="E24">
        <v>17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5"/>
      <c r="AE24" s="4">
        <f t="shared" si="0"/>
        <v>0</v>
      </c>
      <c r="AF24" s="4">
        <f t="shared" si="1"/>
        <v>0</v>
      </c>
      <c r="AG24" s="4">
        <f t="shared" si="2"/>
        <v>0</v>
      </c>
      <c r="AH24" s="5"/>
      <c r="AI24" s="16" t="str">
        <f>AJ4+E24*AJ5&amp;" DATA "&amp;AE23&amp;","&amp;AF23&amp;","&amp;AG23</f>
        <v>1340 DATA 0,0,0</v>
      </c>
      <c r="AJ24" s="17"/>
      <c r="AK24" s="18"/>
      <c r="AM24" s="46"/>
      <c r="AN24" s="32"/>
      <c r="AO24" s="32"/>
      <c r="AP24" s="32"/>
      <c r="AQ24" s="32"/>
      <c r="AR24" s="32"/>
      <c r="AS24" s="32"/>
      <c r="AT24" s="32"/>
      <c r="AU24" s="47"/>
    </row>
    <row r="25" spans="5:47" ht="16.5" thickTop="1" thickBot="1" x14ac:dyDescent="0.3">
      <c r="E25">
        <v>18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5"/>
      <c r="AE25" s="4">
        <f t="shared" si="0"/>
        <v>0</v>
      </c>
      <c r="AF25" s="4">
        <f t="shared" si="1"/>
        <v>0</v>
      </c>
      <c r="AG25" s="4">
        <f t="shared" si="2"/>
        <v>0</v>
      </c>
      <c r="AH25" s="5"/>
      <c r="AI25" s="16" t="str">
        <f>AJ4+E25*AJ5&amp;" DATA "&amp;AE25&amp;","&amp;AF25&amp;","&amp;AG25</f>
        <v>1360 DATA 0,0,0</v>
      </c>
      <c r="AJ25" s="17"/>
      <c r="AK25" s="18"/>
      <c r="AM25" s="46"/>
      <c r="AN25" s="32"/>
      <c r="AO25" s="32"/>
      <c r="AP25" s="32"/>
      <c r="AQ25" s="32"/>
      <c r="AR25" s="32"/>
      <c r="AS25" s="32"/>
      <c r="AT25" s="32"/>
      <c r="AU25" s="47"/>
    </row>
    <row r="26" spans="5:47" ht="16.5" thickTop="1" thickBot="1" x14ac:dyDescent="0.3">
      <c r="E26">
        <v>19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5"/>
      <c r="AE26" s="4">
        <f t="shared" si="0"/>
        <v>0</v>
      </c>
      <c r="AF26" s="4">
        <f t="shared" si="1"/>
        <v>0</v>
      </c>
      <c r="AG26" s="4">
        <f t="shared" si="2"/>
        <v>0</v>
      </c>
      <c r="AH26" s="5"/>
      <c r="AI26" s="16" t="str">
        <f>AJ4+E26*AJ5&amp;" DATA "&amp;AE26&amp;","&amp;AF26&amp;","&amp;AG26</f>
        <v>1380 DATA 0,0,0</v>
      </c>
      <c r="AJ26" s="17"/>
      <c r="AK26" s="18"/>
      <c r="AM26" s="46"/>
      <c r="AN26" s="32"/>
      <c r="AO26" s="32"/>
      <c r="AP26" s="32"/>
      <c r="AQ26" s="32"/>
      <c r="AR26" s="32"/>
      <c r="AS26" s="32"/>
      <c r="AT26" s="32"/>
      <c r="AU26" s="47"/>
    </row>
    <row r="27" spans="5:47" ht="16.5" thickTop="1" thickBot="1" x14ac:dyDescent="0.3">
      <c r="E27">
        <v>20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5"/>
      <c r="AE27" s="4">
        <f t="shared" si="0"/>
        <v>0</v>
      </c>
      <c r="AF27" s="4">
        <f t="shared" si="1"/>
        <v>0</v>
      </c>
      <c r="AG27" s="4">
        <f t="shared" si="2"/>
        <v>0</v>
      </c>
      <c r="AH27" s="5"/>
      <c r="AI27" s="16" t="str">
        <f>AJ4+E27*AJ5&amp;" DATA "&amp;AE27&amp;","&amp;AF27&amp;","&amp;AG27</f>
        <v>1400 DATA 0,0,0</v>
      </c>
      <c r="AJ27" s="17"/>
      <c r="AK27" s="18"/>
      <c r="AM27" s="46"/>
      <c r="AN27" s="32"/>
      <c r="AO27" s="32"/>
      <c r="AP27" s="32"/>
      <c r="AQ27" s="32"/>
      <c r="AR27" s="32"/>
      <c r="AS27" s="32"/>
      <c r="AT27" s="32"/>
      <c r="AU27" s="47"/>
    </row>
    <row r="28" spans="5:47" ht="16.5" thickTop="1" thickBot="1" x14ac:dyDescent="0.3">
      <c r="E28">
        <v>21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7"/>
      <c r="AE28" s="42">
        <f t="shared" si="0"/>
        <v>0</v>
      </c>
      <c r="AF28" s="42">
        <f t="shared" si="1"/>
        <v>0</v>
      </c>
      <c r="AG28" s="42">
        <f t="shared" si="2"/>
        <v>0</v>
      </c>
      <c r="AH28" s="8"/>
      <c r="AI28" s="28" t="str">
        <f>AJ4+E28*AJ5&amp;" DATA "&amp;AE28&amp;","&amp;AF28&amp;","&amp;AG28</f>
        <v>1420 DATA 0,0,0</v>
      </c>
      <c r="AJ28" s="29"/>
      <c r="AK28" s="30"/>
      <c r="AM28" s="48"/>
      <c r="AN28" s="49"/>
      <c r="AO28" s="49"/>
      <c r="AP28" s="49"/>
      <c r="AQ28" s="49"/>
      <c r="AR28" s="49"/>
      <c r="AS28" s="49"/>
      <c r="AT28" s="49"/>
      <c r="AU28" s="50"/>
    </row>
    <row r="29" spans="5:47" ht="15.75" thickTop="1" x14ac:dyDescent="0.25"/>
    <row r="31" spans="5:47" x14ac:dyDescent="0.25">
      <c r="AL31" t="s">
        <v>6</v>
      </c>
    </row>
  </sheetData>
  <mergeCells count="28">
    <mergeCell ref="AI28:AK28"/>
    <mergeCell ref="AE7:AG7"/>
    <mergeCell ref="AI24:AK24"/>
    <mergeCell ref="AI7:AK7"/>
    <mergeCell ref="AI8:AK8"/>
    <mergeCell ref="AI9:AK9"/>
    <mergeCell ref="AI27:AK27"/>
    <mergeCell ref="AI21:AK21"/>
    <mergeCell ref="AI20:AK20"/>
    <mergeCell ref="AI19:AK19"/>
    <mergeCell ref="AI22:AK22"/>
    <mergeCell ref="AI23:AK23"/>
    <mergeCell ref="AM8:AU28"/>
    <mergeCell ref="H2:AA3"/>
    <mergeCell ref="AJ4:AK4"/>
    <mergeCell ref="AJ5:AK5"/>
    <mergeCell ref="AM7:AU7"/>
    <mergeCell ref="AI26:AK26"/>
    <mergeCell ref="AI16:AK16"/>
    <mergeCell ref="AI18:AK18"/>
    <mergeCell ref="AI12:AK12"/>
    <mergeCell ref="AI14:AK14"/>
    <mergeCell ref="AI25:AK25"/>
    <mergeCell ref="AI10:AK10"/>
    <mergeCell ref="AI11:AK11"/>
    <mergeCell ref="AI17:AK17"/>
    <mergeCell ref="AI15:AK15"/>
    <mergeCell ref="AI13:AK13"/>
  </mergeCells>
  <conditionalFormatting sqref="F8:AC28">
    <cfRule type="cellIs" dxfId="3" priority="3" operator="equal">
      <formula>1</formula>
    </cfRule>
    <cfRule type="cellIs" dxfId="2" priority="4" operator="equal">
      <formula>1</formula>
    </cfRule>
    <cfRule type="cellIs" dxfId="1" priority="2" operator="lessThan">
      <formula>0</formula>
    </cfRule>
    <cfRule type="cellIs" dxfId="0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Click">
                <anchor moveWithCells="1" sizeWithCells="1">
                  <from>
                    <xdr:col>13</xdr:col>
                    <xdr:colOff>104775</xdr:colOff>
                    <xdr:row>30</xdr:row>
                    <xdr:rowOff>66675</xdr:rowOff>
                  </from>
                  <to>
                    <xdr:col>19</xdr:col>
                    <xdr:colOff>95250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DataCode_Click">
                <anchor moveWithCells="1" sizeWithCells="1">
                  <from>
                    <xdr:col>34</xdr:col>
                    <xdr:colOff>381000</xdr:colOff>
                    <xdr:row>30</xdr:row>
                    <xdr:rowOff>28575</xdr:rowOff>
                  </from>
                  <to>
                    <xdr:col>36</xdr:col>
                    <xdr:colOff>104775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ShowSpriteCode_Click">
                <anchor moveWithCells="1" sizeWithCells="1">
                  <from>
                    <xdr:col>40</xdr:col>
                    <xdr:colOff>323850</xdr:colOff>
                    <xdr:row>30</xdr:row>
                    <xdr:rowOff>0</xdr:rowOff>
                  </from>
                  <to>
                    <xdr:col>43</xdr:col>
                    <xdr:colOff>66675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C64 Sprite 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2023-01-27T03:58:15Z</dcterms:created>
  <dcterms:modified xsi:type="dcterms:W3CDTF">2023-01-28T17:49:33Z</dcterms:modified>
</cp:coreProperties>
</file>